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<sst xmlns="http://schemas.openxmlformats.org/spreadsheetml/2006/main" count="40" uniqueCount="40">
  <si>
    <t>名称</t>
  </si>
  <si>
    <t>活跃用户</t>
  </si>
  <si>
    <t>营收</t>
  </si>
  <si>
    <t>使用用户</t>
  </si>
  <si>
    <t>ARPU</t>
  </si>
  <si>
    <t>使用率</t>
  </si>
  <si>
    <t>北京</t>
  </si>
  <si>
    <t>天津</t>
  </si>
  <si>
    <t>河北省</t>
  </si>
  <si>
    <t>山西省</t>
  </si>
  <si>
    <t>内蒙古</t>
  </si>
  <si>
    <t>辽宁省</t>
  </si>
  <si>
    <t>吉林省</t>
  </si>
  <si>
    <t>黑龙江省</t>
  </si>
  <si>
    <t>上海</t>
  </si>
  <si>
    <t>江苏省</t>
  </si>
  <si>
    <t>浙江省</t>
  </si>
  <si>
    <t>安徽省</t>
  </si>
  <si>
    <t>福建省</t>
  </si>
  <si>
    <t>江西省</t>
  </si>
  <si>
    <t>山东省</t>
  </si>
  <si>
    <t>河南省</t>
  </si>
  <si>
    <t>湖北省</t>
  </si>
  <si>
    <t>湖南省</t>
  </si>
  <si>
    <t>广东省</t>
  </si>
  <si>
    <t>广西</t>
  </si>
  <si>
    <t>海南省</t>
  </si>
  <si>
    <t>重庆</t>
  </si>
  <si>
    <t>四川省</t>
  </si>
  <si>
    <t>贵州省</t>
  </si>
  <si>
    <t>云南省</t>
  </si>
  <si>
    <t>西藏</t>
  </si>
  <si>
    <t>陕西省</t>
  </si>
  <si>
    <t>甘肃省</t>
  </si>
  <si>
    <t>青海省</t>
  </si>
  <si>
    <t>宁夏</t>
  </si>
  <si>
    <t>新疆</t>
  </si>
  <si>
    <t>香港</t>
  </si>
  <si>
    <t>澳门</t>
  </si>
  <si>
    <t>台湾省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</si>
</sst>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3">
    <font>
      <sz val="11"/>
      <color theme="1"/>
      <name val="宋体"/>
      <charset val="134"/>
      <scheme val="minor"/>
    </font>
    <font>
      <b/>
      <sz val="9"/>
      <color rgb="FF262626"/>
      <name val="宋体"/>
      <charset val="134"/>
      <scheme val="minor"/>
    </font>
    <font>
      <sz val="9"/>
      <color theme="1"/>
      <name val="宋体"/>
      <charset val="134"/>
      <scheme val="minor"/>
    </font>
    <font>
      <sz val="9"/>
      <color rgb="FF262626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2" borderId="2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3">
      <alignment vertical="center"/>
    </xf>
    <xf numFmtId="0" fontId="10" fillId="0" borderId="3">
      <alignment vertical="center"/>
    </xf>
    <xf numFmtId="0" fontId="11" fillId="0" borderId="4">
      <alignment vertical="center"/>
    </xf>
    <xf numFmtId="0" fontId="11" fillId="0" borderId="0">
      <alignment vertical="center"/>
    </xf>
    <xf numFmtId="0" fontId="12" fillId="3" borderId="5">
      <alignment vertical="center"/>
    </xf>
    <xf numFmtId="0" fontId="13" fillId="4" borderId="6">
      <alignment vertical="center"/>
    </xf>
    <xf numFmtId="0" fontId="14" fillId="4" borderId="5">
      <alignment vertical="center"/>
    </xf>
    <xf numFmtId="0" fontId="15" fillId="5" borderId="7">
      <alignment vertical="center"/>
    </xf>
    <xf numFmtId="0" fontId="16" fillId="0" borderId="8">
      <alignment vertical="center"/>
    </xf>
    <xf numFmtId="0" fontId="17" fillId="0" borderId="9">
      <alignment vertical="center"/>
    </xf>
    <xf numFmtId="0" fontId="18" fillId="6" borderId="0">
      <alignment vertical="center"/>
    </xf>
    <xf numFmtId="0" fontId="19" fillId="7" borderId="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2" fillId="11" borderId="0">
      <alignment vertical="center"/>
    </xf>
    <xf numFmtId="0" fontId="21" fillId="12" borderId="0">
      <alignment vertical="center"/>
    </xf>
    <xf numFmtId="0" fontId="21" fillId="13" borderId="0">
      <alignment vertical="center"/>
    </xf>
    <xf numFmtId="0" fontId="22" fillId="14" borderId="0">
      <alignment vertical="center"/>
    </xf>
    <xf numFmtId="0" fontId="22" fillId="15" borderId="0">
      <alignment vertical="center"/>
    </xf>
    <xf numFmtId="0" fontId="21" fillId="16" borderId="0">
      <alignment vertical="center"/>
    </xf>
    <xf numFmtId="0" fontId="21" fillId="17" borderId="0">
      <alignment vertical="center"/>
    </xf>
    <xf numFmtId="0" fontId="22" fillId="18" borderId="0">
      <alignment vertical="center"/>
    </xf>
    <xf numFmtId="0" fontId="22" fillId="19" borderId="0">
      <alignment vertical="center"/>
    </xf>
    <xf numFmtId="0" fontId="21" fillId="20" borderId="0">
      <alignment vertical="center"/>
    </xf>
    <xf numFmtId="0" fontId="21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21" fillId="24" borderId="0">
      <alignment vertical="center"/>
    </xf>
    <xf numFmtId="0" fontId="21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21" fillId="28" borderId="0">
      <alignment vertical="center"/>
    </xf>
    <xf numFmtId="0" fontId="21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21" fillId="32" borderId="0">
      <alignment vertical="center"/>
    </xf>
  </cellStyleXfs>
  <cellXfs count="8">
    <xf numFmtId="0" fontId="0" fillId="0" borderId="0" xfId="0" applyAlignment="1">
      <alignment vertical="center"/>
    </xf>
    <xf numFmtId="0" fontId="1" fillId="0" borderId="1" xfId="0" applyFont="1" applyBorder="1">
      <alignment vertical="center"/>
    </xf>
    <xf numFmtId="0" fontId="2" fillId="0" borderId="1" xfId="0" applyFont="1" applyBorder="1">
      <alignment vertical="center"/>
    </xf>
    <xf numFmtId="0" fontId="3" fillId="0" borderId="1" xfId="0" applyFont="1" applyFill="1" applyBorder="1" applyAlignment="1">
      <alignment vertical="center"/>
    </xf>
    <xf numFmtId="0" fontId="0" fillId="0" borderId="0" xfId="0" applyFill="1" applyAlignment="1">
      <alignment vertical="center"/>
    </xf>
    <xf numFmtId="176" fontId="0" fillId="0" borderId="1" xfId="0" applyNumberFormat="1" applyBorder="1" applyAlignment="1">
      <alignment vertical="center"/>
    </xf>
    <xf numFmtId="9" fontId="0" fillId="0" borderId="0" xfId="3">
      <alignment vertical="center"/>
    </xf>
    <xf numFmtId="0" fontId="0" fillId="0" borderId="1" xfId="0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5"/>
  <sheetViews>
    <sheetView tabSelected="1" workbookViewId="0">
      <selection activeCell="F2" sqref="F2:F35"/>
    </sheetView>
  </sheetViews>
  <sheetFormatPr defaultColWidth="9" defaultRowHeight="13.5" outlineLevelCol="5"/>
  <cols>
    <col min="5" max="5" width="18.25"/>
    <col min="6" max="6" width="12.625"/>
  </cols>
  <sheetData>
    <row r="1" spans="1:6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t="s">
        <v>5</v>
      </c>
    </row>
    <row r="2" spans="1:6">
      <c r="A2" s="3" t="s">
        <v>6</v>
      </c>
      <c r="B2" s="4">
        <v>3759</v>
      </c>
      <c r="C2" s="4">
        <v>18133</v>
      </c>
      <c r="D2" s="4">
        <v>2604</v>
      </c>
      <c r="E2" s="5">
        <f>C2/B2</f>
        <v>4.82388933226922</v>
      </c>
      <c r="F2" s="6">
        <f>D2/B2</f>
        <v>0.692737430167598</v>
      </c>
    </row>
    <row r="3" spans="1:6">
      <c r="A3" s="3" t="s">
        <v>7</v>
      </c>
      <c r="B3" s="4">
        <v>2585</v>
      </c>
      <c r="C3" s="4">
        <v>9463</v>
      </c>
      <c r="D3" s="4">
        <v>1779</v>
      </c>
      <c r="E3" s="5">
        <f t="shared" ref="E3:E35" si="0">C3/B3</f>
        <v>3.66073500967118</v>
      </c>
      <c r="F3" s="6">
        <f t="shared" ref="F3:F35" si="1">D3/B3</f>
        <v>0.688201160541586</v>
      </c>
    </row>
    <row r="4" spans="1:6">
      <c r="A4" s="3" t="s">
        <v>8</v>
      </c>
      <c r="B4" s="4">
        <v>4766</v>
      </c>
      <c r="C4" s="4">
        <v>13130</v>
      </c>
      <c r="D4" s="4">
        <v>3108</v>
      </c>
      <c r="E4" s="5">
        <f t="shared" si="0"/>
        <v>2.75493075954679</v>
      </c>
      <c r="F4" s="6">
        <f t="shared" si="1"/>
        <v>0.652119177507344</v>
      </c>
    </row>
    <row r="5" spans="1:6">
      <c r="A5" s="3" t="s">
        <v>9</v>
      </c>
      <c r="B5" s="4">
        <v>1937</v>
      </c>
      <c r="C5" s="4">
        <v>5176</v>
      </c>
      <c r="D5" s="4">
        <v>1288</v>
      </c>
      <c r="E5" s="5">
        <f t="shared" si="0"/>
        <v>2.67217346411977</v>
      </c>
      <c r="F5" s="6">
        <f t="shared" si="1"/>
        <v>0.664945792462571</v>
      </c>
    </row>
    <row r="6" spans="1:6">
      <c r="A6" s="3" t="s">
        <v>10</v>
      </c>
      <c r="B6" s="4">
        <v>1458</v>
      </c>
      <c r="C6" s="4">
        <v>4506</v>
      </c>
      <c r="D6" s="4">
        <v>941</v>
      </c>
      <c r="E6" s="5">
        <f t="shared" si="0"/>
        <v>3.09053497942387</v>
      </c>
      <c r="F6" s="6">
        <f t="shared" si="1"/>
        <v>0.645404663923182</v>
      </c>
    </row>
    <row r="7" spans="1:6">
      <c r="A7" s="3" t="s">
        <v>11</v>
      </c>
      <c r="B7" s="4">
        <v>6838</v>
      </c>
      <c r="C7" s="4">
        <v>35021</v>
      </c>
      <c r="D7" s="4">
        <v>4940</v>
      </c>
      <c r="E7" s="5">
        <f t="shared" si="0"/>
        <v>5.12152676221117</v>
      </c>
      <c r="F7" s="6">
        <f t="shared" si="1"/>
        <v>0.722433460076046</v>
      </c>
    </row>
    <row r="8" spans="1:6">
      <c r="A8" s="3" t="s">
        <v>12</v>
      </c>
      <c r="B8" s="4">
        <v>1579</v>
      </c>
      <c r="C8" s="4">
        <v>7477</v>
      </c>
      <c r="D8" s="4">
        <v>1072</v>
      </c>
      <c r="E8" s="5">
        <f t="shared" si="0"/>
        <v>4.73527549081697</v>
      </c>
      <c r="F8" s="6">
        <f t="shared" si="1"/>
        <v>0.678910702976567</v>
      </c>
    </row>
    <row r="9" spans="1:6">
      <c r="A9" s="3" t="s">
        <v>13</v>
      </c>
      <c r="B9" s="4">
        <v>3169</v>
      </c>
      <c r="C9" s="4">
        <v>14316</v>
      </c>
      <c r="D9" s="4">
        <v>2194</v>
      </c>
      <c r="E9" s="5">
        <f t="shared" si="0"/>
        <v>4.51751341117072</v>
      </c>
      <c r="F9" s="6">
        <f t="shared" si="1"/>
        <v>0.692331965919849</v>
      </c>
    </row>
    <row r="10" spans="1:6">
      <c r="A10" s="3" t="s">
        <v>14</v>
      </c>
      <c r="B10" s="4">
        <v>1558</v>
      </c>
      <c r="C10" s="4">
        <v>14189</v>
      </c>
      <c r="D10" s="4">
        <v>958</v>
      </c>
      <c r="E10" s="5">
        <f t="shared" si="0"/>
        <v>9.10718870346598</v>
      </c>
      <c r="F10" s="6">
        <f t="shared" si="1"/>
        <v>0.614890885750963</v>
      </c>
    </row>
    <row r="11" spans="1:6">
      <c r="A11" s="3" t="s">
        <v>15</v>
      </c>
      <c r="B11" s="4">
        <v>9230</v>
      </c>
      <c r="C11" s="4">
        <v>56282</v>
      </c>
      <c r="D11" s="4">
        <v>5966</v>
      </c>
      <c r="E11" s="5">
        <f t="shared" si="0"/>
        <v>6.09772481040087</v>
      </c>
      <c r="F11" s="6">
        <f t="shared" si="1"/>
        <v>0.646370530877573</v>
      </c>
    </row>
    <row r="12" spans="1:6">
      <c r="A12" s="3" t="s">
        <v>16</v>
      </c>
      <c r="B12" s="4">
        <v>4459</v>
      </c>
      <c r="C12" s="4">
        <v>20074</v>
      </c>
      <c r="D12" s="4">
        <v>3020</v>
      </c>
      <c r="E12" s="5">
        <f t="shared" si="0"/>
        <v>4.5019062570083</v>
      </c>
      <c r="F12" s="6">
        <f t="shared" si="1"/>
        <v>0.677281901771698</v>
      </c>
    </row>
    <row r="13" spans="1:6">
      <c r="A13" s="3" t="s">
        <v>17</v>
      </c>
      <c r="B13" s="4">
        <v>6602</v>
      </c>
      <c r="C13" s="4">
        <v>27531</v>
      </c>
      <c r="D13" s="4">
        <v>4659</v>
      </c>
      <c r="E13" s="5">
        <f t="shared" si="0"/>
        <v>4.17009996970615</v>
      </c>
      <c r="F13" s="6">
        <f t="shared" si="1"/>
        <v>0.705695243865495</v>
      </c>
    </row>
    <row r="14" spans="1:6">
      <c r="A14" s="3" t="s">
        <v>18</v>
      </c>
      <c r="B14" s="4">
        <v>4974</v>
      </c>
      <c r="C14" s="4">
        <v>16427</v>
      </c>
      <c r="D14" s="4">
        <v>3427</v>
      </c>
      <c r="E14" s="5">
        <f t="shared" si="0"/>
        <v>3.30257338158424</v>
      </c>
      <c r="F14" s="6">
        <f t="shared" si="1"/>
        <v>0.688982710092481</v>
      </c>
    </row>
    <row r="15" spans="1:6">
      <c r="A15" s="3" t="s">
        <v>19</v>
      </c>
      <c r="B15" s="4">
        <v>3352</v>
      </c>
      <c r="C15" s="4">
        <v>6895</v>
      </c>
      <c r="D15" s="4">
        <v>2173</v>
      </c>
      <c r="E15" s="5">
        <f t="shared" si="0"/>
        <v>2.05698090692124</v>
      </c>
      <c r="F15" s="6">
        <f t="shared" si="1"/>
        <v>0.64826968973747</v>
      </c>
    </row>
    <row r="16" spans="1:6">
      <c r="A16" s="3" t="s">
        <v>20</v>
      </c>
      <c r="B16" s="4">
        <v>12106</v>
      </c>
      <c r="C16" s="4">
        <v>37448</v>
      </c>
      <c r="D16" s="4">
        <v>8292</v>
      </c>
      <c r="E16" s="5">
        <f t="shared" si="0"/>
        <v>3.09334214439121</v>
      </c>
      <c r="F16" s="6">
        <f t="shared" si="1"/>
        <v>0.684949611762762</v>
      </c>
    </row>
    <row r="17" spans="1:6">
      <c r="A17" s="3" t="s">
        <v>21</v>
      </c>
      <c r="B17" s="4">
        <v>5673</v>
      </c>
      <c r="C17" s="4">
        <v>8074</v>
      </c>
      <c r="D17" s="4">
        <v>3754</v>
      </c>
      <c r="E17" s="5">
        <f t="shared" si="0"/>
        <v>1.42323285739468</v>
      </c>
      <c r="F17" s="6">
        <f t="shared" si="1"/>
        <v>0.661731006522122</v>
      </c>
    </row>
    <row r="18" spans="1:6">
      <c r="A18" s="3" t="s">
        <v>22</v>
      </c>
      <c r="B18" s="4">
        <v>4259</v>
      </c>
      <c r="C18" s="4">
        <v>15221</v>
      </c>
      <c r="D18" s="4">
        <v>2908</v>
      </c>
      <c r="E18" s="5">
        <f t="shared" si="0"/>
        <v>3.57384362526415</v>
      </c>
      <c r="F18" s="6">
        <f t="shared" si="1"/>
        <v>0.682789387180089</v>
      </c>
    </row>
    <row r="19" spans="1:6">
      <c r="A19" s="3" t="s">
        <v>23</v>
      </c>
      <c r="B19" s="4">
        <v>5262</v>
      </c>
      <c r="C19" s="4">
        <v>20829</v>
      </c>
      <c r="D19" s="4">
        <v>3656</v>
      </c>
      <c r="E19" s="5">
        <f t="shared" si="0"/>
        <v>3.95838084378563</v>
      </c>
      <c r="F19" s="6">
        <f t="shared" si="1"/>
        <v>0.694792854427974</v>
      </c>
    </row>
    <row r="20" spans="1:6">
      <c r="A20" s="3" t="s">
        <v>24</v>
      </c>
      <c r="B20" s="4">
        <v>9279</v>
      </c>
      <c r="C20" s="4">
        <v>44380</v>
      </c>
      <c r="D20" s="4">
        <v>6127</v>
      </c>
      <c r="E20" s="5">
        <f t="shared" si="0"/>
        <v>4.78284297876926</v>
      </c>
      <c r="F20" s="6">
        <f t="shared" si="1"/>
        <v>0.660308222868844</v>
      </c>
    </row>
    <row r="21" spans="1:6">
      <c r="A21" s="3" t="s">
        <v>25</v>
      </c>
      <c r="B21" s="4">
        <v>1726</v>
      </c>
      <c r="C21" s="4">
        <v>3758</v>
      </c>
      <c r="D21" s="4">
        <v>1143</v>
      </c>
      <c r="E21" s="5">
        <f t="shared" si="0"/>
        <v>2.17728852838934</v>
      </c>
      <c r="F21" s="6">
        <f t="shared" si="1"/>
        <v>0.662224797219004</v>
      </c>
    </row>
    <row r="22" spans="1:6">
      <c r="A22" s="3" t="s">
        <v>26</v>
      </c>
      <c r="B22" s="4">
        <v>827</v>
      </c>
      <c r="C22" s="4">
        <v>1931</v>
      </c>
      <c r="D22" s="4">
        <v>581</v>
      </c>
      <c r="E22" s="5">
        <f t="shared" si="0"/>
        <v>2.33494558645707</v>
      </c>
      <c r="F22" s="6">
        <f t="shared" si="1"/>
        <v>0.702539298669891</v>
      </c>
    </row>
    <row r="23" spans="1:6">
      <c r="A23" s="3" t="s">
        <v>27</v>
      </c>
      <c r="B23" s="4">
        <v>3084</v>
      </c>
      <c r="C23" s="4">
        <v>15731</v>
      </c>
      <c r="D23" s="4">
        <v>2130</v>
      </c>
      <c r="E23" s="5">
        <f t="shared" si="0"/>
        <v>5.10084306095979</v>
      </c>
      <c r="F23" s="6">
        <f t="shared" si="1"/>
        <v>0.690661478599222</v>
      </c>
    </row>
    <row r="24" spans="1:6">
      <c r="A24" s="3" t="s">
        <v>28</v>
      </c>
      <c r="B24" s="4">
        <v>4904</v>
      </c>
      <c r="C24" s="4">
        <v>11309</v>
      </c>
      <c r="D24" s="4">
        <v>3372</v>
      </c>
      <c r="E24" s="5">
        <f t="shared" si="0"/>
        <v>2.3060766721044</v>
      </c>
      <c r="F24" s="6">
        <f t="shared" si="1"/>
        <v>0.687601957585644</v>
      </c>
    </row>
    <row r="25" spans="1:6">
      <c r="A25" s="3" t="s">
        <v>29</v>
      </c>
      <c r="B25" s="4">
        <v>1648</v>
      </c>
      <c r="C25" s="4">
        <v>3176</v>
      </c>
      <c r="D25" s="4">
        <v>1066</v>
      </c>
      <c r="E25" s="5">
        <f t="shared" si="0"/>
        <v>1.92718446601942</v>
      </c>
      <c r="F25" s="6">
        <f t="shared" si="1"/>
        <v>0.646844660194175</v>
      </c>
    </row>
    <row r="26" spans="1:6">
      <c r="A26" s="3" t="s">
        <v>30</v>
      </c>
      <c r="B26" s="4">
        <v>1827</v>
      </c>
      <c r="C26" s="4">
        <v>4669</v>
      </c>
      <c r="D26" s="4">
        <v>1203</v>
      </c>
      <c r="E26" s="5">
        <f t="shared" si="0"/>
        <v>2.55555555555556</v>
      </c>
      <c r="F26" s="6">
        <f t="shared" si="1"/>
        <v>0.658456486042693</v>
      </c>
    </row>
    <row r="27" spans="1:6">
      <c r="A27" s="3" t="s">
        <v>31</v>
      </c>
      <c r="B27" s="4">
        <v>133</v>
      </c>
      <c r="C27" s="4">
        <v>879</v>
      </c>
      <c r="D27" s="4">
        <v>87</v>
      </c>
      <c r="E27" s="5">
        <f t="shared" si="0"/>
        <v>6.60902255639098</v>
      </c>
      <c r="F27" s="6">
        <f t="shared" si="1"/>
        <v>0.654135338345865</v>
      </c>
    </row>
    <row r="28" spans="1:6">
      <c r="A28" s="3" t="s">
        <v>32</v>
      </c>
      <c r="B28" s="4">
        <v>2424</v>
      </c>
      <c r="C28" s="4">
        <v>8104</v>
      </c>
      <c r="D28" s="4">
        <v>1564</v>
      </c>
      <c r="E28" s="5">
        <f t="shared" si="0"/>
        <v>3.34323432343234</v>
      </c>
      <c r="F28" s="6">
        <f t="shared" si="1"/>
        <v>0.645214521452145</v>
      </c>
    </row>
    <row r="29" spans="1:6">
      <c r="A29" s="3" t="s">
        <v>33</v>
      </c>
      <c r="B29" s="4">
        <v>1540</v>
      </c>
      <c r="C29" s="4">
        <v>4343</v>
      </c>
      <c r="D29" s="4">
        <v>1010</v>
      </c>
      <c r="E29" s="5">
        <f t="shared" si="0"/>
        <v>2.82012987012987</v>
      </c>
      <c r="F29" s="6">
        <f t="shared" si="1"/>
        <v>0.655844155844156</v>
      </c>
    </row>
    <row r="30" spans="1:6">
      <c r="A30" s="3" t="s">
        <v>34</v>
      </c>
      <c r="B30" s="4">
        <v>447</v>
      </c>
      <c r="C30" s="4">
        <v>1843</v>
      </c>
      <c r="D30" s="4">
        <v>300</v>
      </c>
      <c r="E30" s="5">
        <f t="shared" si="0"/>
        <v>4.12304250559284</v>
      </c>
      <c r="F30" s="6">
        <f t="shared" si="1"/>
        <v>0.671140939597315</v>
      </c>
    </row>
    <row r="31" spans="1:6">
      <c r="A31" s="3" t="s">
        <v>35</v>
      </c>
      <c r="B31" s="4">
        <v>627</v>
      </c>
      <c r="C31" s="4">
        <v>1343</v>
      </c>
      <c r="D31" s="4">
        <v>427</v>
      </c>
      <c r="E31" s="5">
        <f t="shared" si="0"/>
        <v>2.14194577352472</v>
      </c>
      <c r="F31" s="6">
        <f t="shared" si="1"/>
        <v>0.681020733652313</v>
      </c>
    </row>
    <row r="32" spans="1:6">
      <c r="A32" s="3" t="s">
        <v>36</v>
      </c>
      <c r="B32" s="4">
        <v>2084</v>
      </c>
      <c r="C32" s="4">
        <v>7199</v>
      </c>
      <c r="D32" s="4">
        <v>1339</v>
      </c>
      <c r="E32" s="5">
        <f t="shared" si="0"/>
        <v>3.45441458733205</v>
      </c>
      <c r="F32" s="6">
        <f t="shared" si="1"/>
        <v>0.642514395393474</v>
      </c>
    </row>
    <row r="33" spans="1:6">
      <c r="A33" s="3" t="s">
        <v>37</v>
      </c>
      <c r="B33" s="4">
        <v>38</v>
      </c>
      <c r="C33" s="4">
        <v>366</v>
      </c>
      <c r="D33" s="4">
        <v>28</v>
      </c>
      <c r="E33" s="5">
        <f t="shared" si="0"/>
        <v>9.63157894736842</v>
      </c>
      <c r="F33" s="6">
        <f t="shared" si="1"/>
        <v>0.736842105263158</v>
      </c>
    </row>
    <row r="34" spans="1:6">
      <c r="A34" s="3" t="s">
        <v>38</v>
      </c>
      <c r="B34" s="4">
        <v>6</v>
      </c>
      <c r="C34" s="7"/>
      <c r="D34" s="4">
        <v>2</v>
      </c>
      <c r="E34" s="5">
        <f t="shared" si="0"/>
        <v>0</v>
      </c>
      <c r="F34" s="6">
        <f t="shared" si="1"/>
        <v>0.333333333333333</v>
      </c>
    </row>
    <row r="35" spans="1:6">
      <c r="A35" s="3" t="s">
        <v>39</v>
      </c>
      <c r="B35" s="4">
        <v>7</v>
      </c>
      <c r="C35" s="7"/>
      <c r="D35" s="4">
        <v>5</v>
      </c>
      <c r="E35" s="5">
        <f t="shared" si="0"/>
        <v>0</v>
      </c>
      <c r="F35" s="6">
        <f t="shared" si="1"/>
        <v>0.714285714285714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Shockey</cp:lastModifiedBy>
  <dcterms:created xsi:type="dcterms:W3CDTF">2023-05-12T11:15:00Z</dcterms:created>
  <dcterms:modified xsi:type="dcterms:W3CDTF">2026-03-10T10:17:24Z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BFA2D54C12524A5083134276C72CC562_12</vt:lpwstr>
  </property>
  <property fmtid="{D5CDD505-2E9C-101B-9397-08002B2CF9AE}" pid="4" name="CalculationRule">
    <vt:i4>0</vt:i4>
  </property>
</Properties>
</file>